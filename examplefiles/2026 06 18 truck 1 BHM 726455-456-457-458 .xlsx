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warecomputersystems-my.sharepoint.com/personal/vdv_alena_uniwarecomputersystems_onmicrosoft_com/Documents/UK docs/2026 week 25 - Filipe/2026 06 18  truck BHM ltd/"/>
    </mc:Choice>
  </mc:AlternateContent>
  <xr:revisionPtr revIDLastSave="524" documentId="8_{B664C228-54BC-4000-9466-F3AC7C77FA66}" xr6:coauthVersionLast="47" xr6:coauthVersionMax="47" xr10:uidLastSave="{AB044095-FD65-4321-B328-9086CE94FECA}"/>
  <bookViews>
    <workbookView xWindow="-72120" yWindow="-120" windowWidth="29040" windowHeight="15720" xr2:uid="{00000000-000D-0000-FFFF-FFFF00000000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F2" i="1"/>
  <c r="E2" i="1"/>
</calcChain>
</file>

<file path=xl/sharedStrings.xml><?xml version="1.0" encoding="utf-8"?>
<sst xmlns="http://schemas.openxmlformats.org/spreadsheetml/2006/main" count="148" uniqueCount="88">
  <si>
    <t>Reference</t>
  </si>
  <si>
    <t>Owner</t>
  </si>
  <si>
    <t>Regulation</t>
  </si>
  <si>
    <t>Country of destination</t>
  </si>
  <si>
    <t>Total gross mass</t>
  </si>
  <si>
    <t>Total number of packages</t>
  </si>
  <si>
    <t>Location</t>
  </si>
  <si>
    <t>Marks and numbers</t>
  </si>
  <si>
    <t>Container number</t>
  </si>
  <si>
    <t>Border transport mode</t>
  </si>
  <si>
    <t>Border transport nationality</t>
  </si>
  <si>
    <t>Delivery terms</t>
  </si>
  <si>
    <t>Delivery terms city</t>
  </si>
  <si>
    <t>Customs office of exit</t>
  </si>
  <si>
    <t>NL820853434</t>
  </si>
  <si>
    <t>Export</t>
  </si>
  <si>
    <t>GB</t>
  </si>
  <si>
    <t>2675 LW 322</t>
  </si>
  <si>
    <t>Road</t>
  </si>
  <si>
    <t>NL</t>
  </si>
  <si>
    <t>DAP</t>
  </si>
  <si>
    <t>Goods description</t>
  </si>
  <si>
    <t>Commodity code</t>
  </si>
  <si>
    <t>Net weight</t>
  </si>
  <si>
    <t>Quantity</t>
  </si>
  <si>
    <t>Customs value</t>
  </si>
  <si>
    <t xml:space="preserve">Ctns per regel </t>
  </si>
  <si>
    <t xml:space="preserve">Bruto per regel </t>
  </si>
  <si>
    <t xml:space="preserve">oorsprong </t>
  </si>
  <si>
    <t>Certificate Origin</t>
  </si>
  <si>
    <t xml:space="preserve">Bio Certificate </t>
  </si>
  <si>
    <t>KCB Number</t>
  </si>
  <si>
    <t xml:space="preserve">Phyto number </t>
  </si>
  <si>
    <t>Flowers (other fresh)</t>
  </si>
  <si>
    <t>0603197090</t>
  </si>
  <si>
    <t xml:space="preserve">Additional Information </t>
  </si>
  <si>
    <t>Importer</t>
  </si>
  <si>
    <t>Flowers roses</t>
  </si>
  <si>
    <t>0603110000</t>
  </si>
  <si>
    <t>Flowers chrysanthemums</t>
  </si>
  <si>
    <t>0603140000</t>
  </si>
  <si>
    <t>Invoice number</t>
  </si>
  <si>
    <t xml:space="preserve">Trailer number </t>
  </si>
  <si>
    <t>Vessel</t>
  </si>
  <si>
    <t>Port of UK Arrival</t>
  </si>
  <si>
    <t>Currency of invoice</t>
  </si>
  <si>
    <t>Currency</t>
  </si>
  <si>
    <t>Freight costs</t>
  </si>
  <si>
    <t>GBP</t>
  </si>
  <si>
    <t xml:space="preserve">Insurance </t>
  </si>
  <si>
    <t xml:space="preserve">Inland freight </t>
  </si>
  <si>
    <t>Flowers carnation</t>
  </si>
  <si>
    <t>0603120000</t>
  </si>
  <si>
    <t>Flowers lilies</t>
  </si>
  <si>
    <t>0603150000</t>
  </si>
  <si>
    <t>0604209000</t>
  </si>
  <si>
    <t>Flowers green</t>
  </si>
  <si>
    <t>GB374010920000</t>
  </si>
  <si>
    <t>Unitrade Sjaak van der Vijver UK Limited</t>
  </si>
  <si>
    <t>GB000060</t>
  </si>
  <si>
    <t>KNIGHTON</t>
  </si>
  <si>
    <t>FR620001</t>
  </si>
  <si>
    <t>EC</t>
  </si>
  <si>
    <t>ET</t>
  </si>
  <si>
    <t>KE</t>
  </si>
  <si>
    <t>CO</t>
  </si>
  <si>
    <t>ES</t>
  </si>
  <si>
    <t>IL</t>
  </si>
  <si>
    <t>TZ</t>
  </si>
  <si>
    <t>CR</t>
  </si>
  <si>
    <t>IT</t>
  </si>
  <si>
    <t>CN</t>
  </si>
  <si>
    <t>Glas vases</t>
  </si>
  <si>
    <t>7013990000</t>
  </si>
  <si>
    <t>refined roses</t>
  </si>
  <si>
    <t>0602400000</t>
  </si>
  <si>
    <t>Perennials</t>
  </si>
  <si>
    <t>0602905000</t>
  </si>
  <si>
    <t>Flowering plants(no cactu</t>
  </si>
  <si>
    <t>0602909100</t>
  </si>
  <si>
    <t>CITES ge. non-flowering p</t>
  </si>
  <si>
    <t>0602909900</t>
  </si>
  <si>
    <t>Other non-flowering plant</t>
  </si>
  <si>
    <t>Others</t>
  </si>
  <si>
    <t>0603197000</t>
  </si>
  <si>
    <t>726455/726456/726457/726458</t>
  </si>
  <si>
    <t>726455/726456/726457/726458  2026 0618 truck 1</t>
  </si>
  <si>
    <t>73-BZK-3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</si>
</sst>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 x14ac:knownFonts="1">
    <font>
      <sz val="11"/>
      <color rgb="FF000000"/>
      <name val="Calibri"/>
      <scheme val="minor"/>
    </font>
    <font>
      <b/>
      <sz val="10"/>
      <color rgb="FF262626"/>
      <name val="Calibri"/>
      <family val="2"/>
      <scheme val="minor"/>
    </font>
    <font>
      <b/>
      <sz val="11"/>
      <color rgb="FF262626"/>
      <name val="Calibri"/>
      <family val="2"/>
      <scheme val="minor"/>
    </font>
    <font>
      <sz val="11"/>
      <color rgb="FF262626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0"/>
      <color rgb="FF262626"/>
      <name val="Calibri"/>
      <family val="2"/>
      <scheme val="minor"/>
    </font>
    <font>
      <u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0099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EFCE"/>
        <bgColor rgb="FF000000"/>
      </patternFill>
    </fill>
    <fill>
      <patternFill patternType="solid">
        <fgColor rgb="FFFFC000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1" fillId="0" borderId="0"/>
  </cellStyleXfs>
  <cellXfs count="4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8" fillId="2" borderId="3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5" fillId="2" borderId="0" xfId="0" applyFont="1" applyFill="1" applyAlignment="1">
      <alignment horizontal="right"/>
    </xf>
    <xf numFmtId="4" fontId="5" fillId="2" borderId="0" xfId="0" applyNumberFormat="1" applyFont="1" applyFill="1" applyAlignment="1">
      <alignment vertical="center"/>
    </xf>
    <xf numFmtId="0" fontId="9" fillId="3" borderId="2" xfId="0" applyFont="1" applyFill="1" applyBorder="1"/>
    <xf numFmtId="0" fontId="9" fillId="3" borderId="2" xfId="0" applyFont="1" applyFill="1" applyBorder="1" applyAlignment="1">
      <alignment horizontal="right" vertical="top"/>
    </xf>
    <xf numFmtId="0" fontId="0" fillId="0" borderId="2" xfId="0" applyBorder="1"/>
    <xf numFmtId="4" fontId="9" fillId="3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49" fontId="9" fillId="3" borderId="2" xfId="0" applyNumberFormat="1" applyFont="1" applyFill="1" applyBorder="1" applyAlignment="1">
      <alignment horizontal="right"/>
    </xf>
    <xf numFmtId="3" fontId="9" fillId="3" borderId="2" xfId="0" applyNumberFormat="1" applyFont="1" applyFill="1" applyBorder="1" applyAlignment="1">
      <alignment vertical="center"/>
    </xf>
    <xf numFmtId="43" fontId="9" fillId="3" borderId="2" xfId="0" applyNumberFormat="1" applyFont="1" applyFill="1" applyBorder="1"/>
    <xf numFmtId="0" fontId="8" fillId="2" borderId="3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9" fillId="4" borderId="2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7" fillId="0" borderId="7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</cellXfs>
  <cellStyles count="2">
    <cellStyle name="Standaard" xfId="0" builtinId="0"/>
    <cellStyle name="Standaard 2" xfId="1" xr:uid="{90010C82-C989-4F41-BBA7-BA2240CB93E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zoomScaleNormal="100" workbookViewId="0">
      <selection activeCell="G29" sqref="G29:G34"/>
    </sheetView>
  </sheetViews>
  <sheetFormatPr defaultColWidth="8.86328125" defaultRowHeight="14.25" x14ac:dyDescent="0.45"/>
  <cols>
    <col min="1" max="1" width="22.73046875" style="10" customWidth="1"/>
    <col min="2" max="2" width="15.265625" style="18" customWidth="1"/>
    <col min="3" max="3" width="10.86328125" style="10" customWidth="1"/>
    <col min="4" max="4" width="18.86328125" style="10" customWidth="1"/>
    <col min="5" max="5" width="18.3984375" style="10" customWidth="1"/>
    <col min="6" max="6" width="21.1328125" style="10" customWidth="1"/>
    <col min="7" max="7" width="15.1328125" style="10" customWidth="1"/>
    <col min="8" max="9" width="15.59765625" style="10" customWidth="1"/>
    <col min="10" max="10" width="19.1328125" style="10" customWidth="1"/>
    <col min="11" max="11" width="23.3984375" style="10" customWidth="1"/>
    <col min="12" max="12" width="14.73046875" style="10" customWidth="1"/>
    <col min="13" max="13" width="18.86328125" style="10" customWidth="1"/>
    <col min="14" max="14" width="21.86328125" style="10" customWidth="1"/>
    <col min="15" max="15" width="19.1328125" style="10" customWidth="1"/>
  </cols>
  <sheetData>
    <row r="1" spans="1:15" x14ac:dyDescent="0.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spans="1:15" x14ac:dyDescent="0.45">
      <c r="A2" s="32" t="s">
        <v>86</v>
      </c>
      <c r="B2" s="21" t="s">
        <v>14</v>
      </c>
      <c r="C2" s="20" t="s">
        <v>15</v>
      </c>
      <c r="D2" s="20" t="s">
        <v>16</v>
      </c>
      <c r="E2" s="29">
        <f>SUM(G4:G52)</f>
        <v>636.72799999999995</v>
      </c>
      <c r="F2" s="20">
        <f>SUM(F4:F52)</f>
        <v>106</v>
      </c>
      <c r="G2" s="20" t="s">
        <v>17</v>
      </c>
      <c r="H2" s="20" t="s">
        <v>85</v>
      </c>
      <c r="I2" s="20"/>
      <c r="J2" s="20" t="s">
        <v>18</v>
      </c>
      <c r="K2" s="20" t="s">
        <v>19</v>
      </c>
      <c r="L2" s="20" t="s">
        <v>20</v>
      </c>
      <c r="M2" s="20" t="s">
        <v>60</v>
      </c>
      <c r="N2" s="20" t="s">
        <v>61</v>
      </c>
      <c r="O2" s="22"/>
    </row>
    <row r="3" spans="1:15" x14ac:dyDescent="0.45">
      <c r="A3" s="3" t="s">
        <v>21</v>
      </c>
      <c r="B3" s="4" t="s">
        <v>22</v>
      </c>
      <c r="C3" s="5" t="s">
        <v>23</v>
      </c>
      <c r="D3" s="5" t="s">
        <v>24</v>
      </c>
      <c r="E3" s="5" t="s">
        <v>25</v>
      </c>
      <c r="F3" s="6" t="s">
        <v>26</v>
      </c>
      <c r="G3" s="6" t="s">
        <v>27</v>
      </c>
      <c r="H3" s="35" t="s">
        <v>28</v>
      </c>
      <c r="I3" s="7" t="s">
        <v>29</v>
      </c>
      <c r="J3" s="7" t="s">
        <v>30</v>
      </c>
      <c r="K3" s="7" t="s">
        <v>31</v>
      </c>
      <c r="L3" s="7" t="s">
        <v>32</v>
      </c>
      <c r="M3" s="1"/>
      <c r="N3" s="1"/>
      <c r="O3" s="1"/>
    </row>
    <row r="4" spans="1:15" x14ac:dyDescent="0.45">
      <c r="A4" s="26" t="s">
        <v>37</v>
      </c>
      <c r="B4" s="27" t="s">
        <v>38</v>
      </c>
      <c r="C4" s="23">
        <v>6.875</v>
      </c>
      <c r="D4" s="28">
        <v>175</v>
      </c>
      <c r="E4" s="23">
        <v>196.25</v>
      </c>
      <c r="F4" s="24">
        <v>1</v>
      </c>
      <c r="G4" s="33">
        <v>6.875</v>
      </c>
      <c r="H4" s="36" t="s">
        <v>62</v>
      </c>
      <c r="I4" s="34"/>
      <c r="J4" s="8"/>
      <c r="K4" s="8"/>
      <c r="L4" s="8"/>
      <c r="M4" s="9" t="s">
        <v>35</v>
      </c>
    </row>
    <row r="5" spans="1:15" x14ac:dyDescent="0.45">
      <c r="A5" s="26" t="s">
        <v>37</v>
      </c>
      <c r="B5" s="27" t="s">
        <v>38</v>
      </c>
      <c r="C5" s="23">
        <v>2.8</v>
      </c>
      <c r="D5" s="28">
        <v>50</v>
      </c>
      <c r="E5" s="23">
        <v>48.4</v>
      </c>
      <c r="F5" s="24">
        <v>0</v>
      </c>
      <c r="G5" s="33">
        <v>2.8</v>
      </c>
      <c r="H5" s="36" t="s">
        <v>63</v>
      </c>
      <c r="I5" s="34"/>
      <c r="J5" s="8"/>
      <c r="K5" s="8"/>
      <c r="L5" s="8"/>
      <c r="M5" s="11" t="s">
        <v>36</v>
      </c>
      <c r="N5" s="12" t="s">
        <v>57</v>
      </c>
      <c r="O5" s="13"/>
    </row>
    <row r="6" spans="1:15" x14ac:dyDescent="0.45">
      <c r="A6" s="26" t="s">
        <v>37</v>
      </c>
      <c r="B6" s="27" t="s">
        <v>38</v>
      </c>
      <c r="C6" s="23">
        <v>17.7</v>
      </c>
      <c r="D6" s="28">
        <v>630</v>
      </c>
      <c r="E6" s="23">
        <v>253.3</v>
      </c>
      <c r="F6" s="24">
        <v>3</v>
      </c>
      <c r="G6" s="33">
        <v>22.2</v>
      </c>
      <c r="H6" s="25" t="s">
        <v>64</v>
      </c>
      <c r="I6" s="34"/>
      <c r="J6" s="8"/>
      <c r="K6" s="8"/>
      <c r="L6" s="8"/>
      <c r="M6" s="11"/>
      <c r="N6" s="14" t="s">
        <v>58</v>
      </c>
      <c r="O6" s="15"/>
    </row>
    <row r="7" spans="1:15" x14ac:dyDescent="0.45">
      <c r="A7" s="26" t="s">
        <v>37</v>
      </c>
      <c r="B7" s="27" t="s">
        <v>38</v>
      </c>
      <c r="C7" s="23">
        <v>11.2</v>
      </c>
      <c r="D7" s="28">
        <v>280</v>
      </c>
      <c r="E7" s="23">
        <v>259.70000000000005</v>
      </c>
      <c r="F7" s="24">
        <v>3</v>
      </c>
      <c r="G7" s="33">
        <v>12.700000000000001</v>
      </c>
      <c r="H7" s="25" t="s">
        <v>19</v>
      </c>
      <c r="I7" s="34"/>
      <c r="J7" s="8"/>
      <c r="K7" s="8"/>
      <c r="L7" s="8"/>
      <c r="M7" s="11" t="s">
        <v>41</v>
      </c>
      <c r="N7" s="38" t="s">
        <v>85</v>
      </c>
      <c r="O7" s="15"/>
    </row>
    <row r="8" spans="1:15" x14ac:dyDescent="0.45">
      <c r="A8" s="26" t="s">
        <v>51</v>
      </c>
      <c r="B8" s="27" t="s">
        <v>52</v>
      </c>
      <c r="C8" s="23">
        <v>10.5</v>
      </c>
      <c r="D8" s="28">
        <v>420</v>
      </c>
      <c r="E8" s="23">
        <v>134.80000000000001</v>
      </c>
      <c r="F8" s="24">
        <v>2</v>
      </c>
      <c r="G8" s="24">
        <v>10.5</v>
      </c>
      <c r="H8" s="36" t="s">
        <v>65</v>
      </c>
      <c r="I8" s="34"/>
      <c r="J8" s="8"/>
      <c r="K8" s="8"/>
      <c r="L8" s="8"/>
      <c r="M8" s="37" t="s">
        <v>42</v>
      </c>
      <c r="N8" s="38" t="s">
        <v>87</v>
      </c>
      <c r="O8" s="15"/>
    </row>
    <row r="9" spans="1:15" x14ac:dyDescent="0.45">
      <c r="A9" s="26" t="s">
        <v>39</v>
      </c>
      <c r="B9" s="27" t="s">
        <v>40</v>
      </c>
      <c r="C9" s="23">
        <v>101.17500000000001</v>
      </c>
      <c r="D9" s="28">
        <v>1295</v>
      </c>
      <c r="E9" s="23">
        <v>861.25000000000023</v>
      </c>
      <c r="F9" s="24">
        <v>15</v>
      </c>
      <c r="G9" s="24">
        <v>101.17500000000001</v>
      </c>
      <c r="H9" s="36" t="s">
        <v>19</v>
      </c>
      <c r="I9" s="34"/>
      <c r="J9" s="8"/>
      <c r="K9" s="8"/>
      <c r="L9" s="8"/>
      <c r="M9" s="11" t="s">
        <v>43</v>
      </c>
      <c r="N9" s="39"/>
      <c r="O9" s="15"/>
    </row>
    <row r="10" spans="1:15" x14ac:dyDescent="0.45">
      <c r="A10" s="26" t="s">
        <v>53</v>
      </c>
      <c r="B10" s="27" t="s">
        <v>54</v>
      </c>
      <c r="C10" s="23">
        <v>22.799999999999997</v>
      </c>
      <c r="D10" s="28">
        <v>100</v>
      </c>
      <c r="E10" s="23">
        <v>139.40000000000003</v>
      </c>
      <c r="F10" s="24">
        <v>0</v>
      </c>
      <c r="G10" s="24">
        <v>22.799999999999997</v>
      </c>
      <c r="H10" s="36" t="s">
        <v>19</v>
      </c>
      <c r="I10" s="34"/>
      <c r="J10" s="8"/>
      <c r="K10" s="8"/>
      <c r="L10" s="8"/>
      <c r="M10" s="11"/>
      <c r="N10" s="14"/>
      <c r="O10" s="15"/>
    </row>
    <row r="11" spans="1:15" x14ac:dyDescent="0.45">
      <c r="A11" s="26" t="s">
        <v>33</v>
      </c>
      <c r="B11" s="27" t="s">
        <v>34</v>
      </c>
      <c r="C11" s="23">
        <v>4.55</v>
      </c>
      <c r="D11" s="28">
        <v>145</v>
      </c>
      <c r="E11" s="23">
        <v>58.05</v>
      </c>
      <c r="F11" s="24">
        <v>1</v>
      </c>
      <c r="G11" s="24">
        <v>6.05</v>
      </c>
      <c r="H11" s="25" t="s">
        <v>65</v>
      </c>
      <c r="I11" s="34"/>
      <c r="J11" s="8"/>
      <c r="K11" s="8"/>
      <c r="L11" s="8"/>
      <c r="M11" s="11" t="s">
        <v>44</v>
      </c>
      <c r="N11" s="14" t="s">
        <v>59</v>
      </c>
      <c r="O11" s="15"/>
    </row>
    <row r="12" spans="1:15" x14ac:dyDescent="0.45">
      <c r="A12" s="26" t="s">
        <v>33</v>
      </c>
      <c r="B12" s="27" t="s">
        <v>34</v>
      </c>
      <c r="C12" s="23">
        <v>3.25</v>
      </c>
      <c r="D12" s="28">
        <v>125</v>
      </c>
      <c r="E12" s="23">
        <v>74.25</v>
      </c>
      <c r="F12" s="24">
        <v>1</v>
      </c>
      <c r="G12" s="24">
        <v>3.25</v>
      </c>
      <c r="H12" s="25" t="s">
        <v>62</v>
      </c>
      <c r="I12" s="8"/>
      <c r="J12" s="8"/>
      <c r="K12" s="8"/>
      <c r="L12" s="8"/>
      <c r="M12" s="11" t="s">
        <v>45</v>
      </c>
      <c r="N12" s="14" t="s">
        <v>48</v>
      </c>
      <c r="O12" s="15"/>
    </row>
    <row r="13" spans="1:15" x14ac:dyDescent="0.45">
      <c r="A13" s="26" t="s">
        <v>33</v>
      </c>
      <c r="B13" s="27" t="s">
        <v>34</v>
      </c>
      <c r="C13" s="23">
        <v>2.25</v>
      </c>
      <c r="D13" s="28">
        <v>75</v>
      </c>
      <c r="E13" s="23">
        <v>38.25</v>
      </c>
      <c r="F13" s="24">
        <v>0</v>
      </c>
      <c r="G13" s="24">
        <v>2.25</v>
      </c>
      <c r="H13" s="25" t="s">
        <v>64</v>
      </c>
      <c r="I13" s="8"/>
      <c r="J13" s="8"/>
      <c r="K13" s="8"/>
      <c r="L13" s="8"/>
      <c r="N13" s="30"/>
      <c r="O13" s="31" t="s">
        <v>46</v>
      </c>
    </row>
    <row r="14" spans="1:15" x14ac:dyDescent="0.45">
      <c r="A14" s="26" t="s">
        <v>33</v>
      </c>
      <c r="B14" s="27" t="s">
        <v>34</v>
      </c>
      <c r="C14" s="23">
        <v>103.49000000000001</v>
      </c>
      <c r="D14" s="28">
        <v>1257</v>
      </c>
      <c r="E14" s="23">
        <v>1080.6500000000001</v>
      </c>
      <c r="F14" s="24">
        <v>12</v>
      </c>
      <c r="G14" s="24">
        <v>116.98999999999998</v>
      </c>
      <c r="H14" s="25" t="s">
        <v>19</v>
      </c>
      <c r="I14" s="8"/>
      <c r="J14" s="8"/>
      <c r="K14" s="8"/>
      <c r="L14" s="8"/>
      <c r="M14" s="11" t="s">
        <v>47</v>
      </c>
      <c r="N14" s="16"/>
      <c r="O14" s="17" t="s">
        <v>48</v>
      </c>
    </row>
    <row r="15" spans="1:15" x14ac:dyDescent="0.45">
      <c r="A15" s="26" t="s">
        <v>33</v>
      </c>
      <c r="B15" s="27" t="s">
        <v>34</v>
      </c>
      <c r="C15" s="23">
        <v>0.9</v>
      </c>
      <c r="D15" s="28">
        <v>20</v>
      </c>
      <c r="E15" s="23">
        <v>10.8</v>
      </c>
      <c r="F15" s="24">
        <v>0</v>
      </c>
      <c r="G15" s="24">
        <v>0.9</v>
      </c>
      <c r="H15" s="25" t="s">
        <v>68</v>
      </c>
      <c r="I15" s="8"/>
      <c r="J15" s="8"/>
      <c r="K15" s="8"/>
      <c r="L15" s="8"/>
      <c r="M15" s="11" t="s">
        <v>49</v>
      </c>
      <c r="N15" s="30"/>
      <c r="O15" s="17"/>
    </row>
    <row r="16" spans="1:15" x14ac:dyDescent="0.45">
      <c r="A16" s="26" t="s">
        <v>56</v>
      </c>
      <c r="B16" s="27" t="s">
        <v>55</v>
      </c>
      <c r="C16" s="23">
        <v>0.6</v>
      </c>
      <c r="D16" s="28">
        <v>12</v>
      </c>
      <c r="E16" s="23">
        <v>55.44</v>
      </c>
      <c r="F16" s="24">
        <v>1</v>
      </c>
      <c r="G16" s="24">
        <v>1.6</v>
      </c>
      <c r="H16" s="25" t="s">
        <v>69</v>
      </c>
      <c r="I16" s="8"/>
      <c r="J16" s="8"/>
      <c r="K16" s="8"/>
      <c r="L16" s="8"/>
      <c r="M16" s="11" t="s">
        <v>50</v>
      </c>
      <c r="N16" s="16"/>
      <c r="O16" s="17" t="str">
        <f>N12</f>
        <v>GBP</v>
      </c>
    </row>
    <row r="17" spans="1:15" x14ac:dyDescent="0.45">
      <c r="A17" s="26" t="s">
        <v>56</v>
      </c>
      <c r="B17" s="27" t="s">
        <v>55</v>
      </c>
      <c r="C17" s="23">
        <v>0.67500000000000004</v>
      </c>
      <c r="D17" s="28">
        <v>15</v>
      </c>
      <c r="E17" s="23">
        <v>33</v>
      </c>
      <c r="F17" s="24">
        <v>0</v>
      </c>
      <c r="G17" s="24">
        <v>0.67500000000000004</v>
      </c>
      <c r="H17" s="25" t="s">
        <v>66</v>
      </c>
      <c r="I17" s="8"/>
      <c r="J17" s="8"/>
      <c r="K17" s="8"/>
      <c r="L17" s="8"/>
      <c r="M17" s="11"/>
      <c r="N17" s="16"/>
      <c r="O17" s="17"/>
    </row>
    <row r="18" spans="1:15" x14ac:dyDescent="0.45">
      <c r="A18" s="26" t="s">
        <v>56</v>
      </c>
      <c r="B18" s="27" t="s">
        <v>55</v>
      </c>
      <c r="C18" s="23">
        <v>2.5</v>
      </c>
      <c r="D18" s="28">
        <v>50</v>
      </c>
      <c r="E18" s="23">
        <v>14.5</v>
      </c>
      <c r="F18" s="24">
        <v>0</v>
      </c>
      <c r="G18" s="24">
        <v>2.5</v>
      </c>
      <c r="H18" s="25" t="s">
        <v>67</v>
      </c>
      <c r="I18" s="8"/>
      <c r="J18" s="8"/>
      <c r="K18" s="8"/>
      <c r="L18" s="8"/>
      <c r="M18" s="9"/>
    </row>
    <row r="19" spans="1:15" x14ac:dyDescent="0.45">
      <c r="A19" s="26" t="s">
        <v>56</v>
      </c>
      <c r="B19" s="27" t="s">
        <v>55</v>
      </c>
      <c r="C19" s="23">
        <v>0.9</v>
      </c>
      <c r="D19" s="28">
        <v>10</v>
      </c>
      <c r="E19" s="23">
        <v>25.85</v>
      </c>
      <c r="F19" s="24">
        <v>0</v>
      </c>
      <c r="G19" s="24">
        <v>0.9</v>
      </c>
      <c r="H19" s="25" t="s">
        <v>70</v>
      </c>
      <c r="I19" s="8"/>
      <c r="J19" s="8"/>
      <c r="K19" s="8"/>
      <c r="L19" s="8"/>
      <c r="M19" s="9"/>
    </row>
    <row r="20" spans="1:15" x14ac:dyDescent="0.45">
      <c r="A20" s="26" t="s">
        <v>56</v>
      </c>
      <c r="B20" s="27" t="s">
        <v>55</v>
      </c>
      <c r="C20" s="23">
        <v>1</v>
      </c>
      <c r="D20" s="28">
        <v>10</v>
      </c>
      <c r="E20" s="23">
        <v>15.8</v>
      </c>
      <c r="F20" s="24">
        <v>0</v>
      </c>
      <c r="G20" s="24">
        <v>1</v>
      </c>
      <c r="H20" s="25" t="s">
        <v>19</v>
      </c>
      <c r="I20" s="8"/>
      <c r="J20" s="8"/>
      <c r="K20" s="8"/>
      <c r="L20" s="8"/>
      <c r="M20" s="9"/>
    </row>
    <row r="21" spans="1:15" x14ac:dyDescent="0.45">
      <c r="A21" s="26" t="s">
        <v>37</v>
      </c>
      <c r="B21" s="27" t="s">
        <v>38</v>
      </c>
      <c r="C21" s="23">
        <v>1.3599999999999999</v>
      </c>
      <c r="D21" s="28">
        <v>34</v>
      </c>
      <c r="E21" s="23">
        <v>8.9699999999999989</v>
      </c>
      <c r="F21" s="24">
        <v>0</v>
      </c>
      <c r="G21" s="24">
        <v>7.3599999999999994</v>
      </c>
      <c r="H21" s="25" t="s">
        <v>64</v>
      </c>
      <c r="I21" s="8"/>
      <c r="J21" s="8"/>
      <c r="K21" s="8"/>
      <c r="L21" s="8"/>
      <c r="M21" s="9"/>
    </row>
    <row r="22" spans="1:15" x14ac:dyDescent="0.45">
      <c r="A22" s="26" t="s">
        <v>39</v>
      </c>
      <c r="B22" s="27" t="s">
        <v>40</v>
      </c>
      <c r="C22" s="23">
        <v>4.08</v>
      </c>
      <c r="D22" s="28">
        <v>51</v>
      </c>
      <c r="E22" s="23">
        <v>19.16</v>
      </c>
      <c r="F22" s="24">
        <v>3</v>
      </c>
      <c r="G22" s="24">
        <v>10.08</v>
      </c>
      <c r="H22" s="25" t="s">
        <v>19</v>
      </c>
      <c r="I22" s="8"/>
      <c r="J22" s="8"/>
      <c r="K22" s="8"/>
      <c r="L22" s="8"/>
      <c r="M22" s="9"/>
    </row>
    <row r="23" spans="1:15" x14ac:dyDescent="0.45">
      <c r="A23" s="26" t="s">
        <v>53</v>
      </c>
      <c r="B23" s="27" t="s">
        <v>54</v>
      </c>
      <c r="C23" s="23">
        <v>1.7</v>
      </c>
      <c r="D23" s="28">
        <v>17</v>
      </c>
      <c r="E23" s="23">
        <v>19.16</v>
      </c>
      <c r="F23" s="24">
        <v>0</v>
      </c>
      <c r="G23" s="24">
        <v>7.7</v>
      </c>
      <c r="H23" s="25" t="s">
        <v>19</v>
      </c>
      <c r="I23" s="8"/>
      <c r="J23" s="8"/>
      <c r="K23" s="8"/>
      <c r="L23" s="8"/>
      <c r="M23" s="9"/>
    </row>
    <row r="24" spans="1:15" x14ac:dyDescent="0.45">
      <c r="A24" s="26" t="s">
        <v>33</v>
      </c>
      <c r="B24" s="27" t="s">
        <v>34</v>
      </c>
      <c r="C24" s="23">
        <v>1.2749999999999999</v>
      </c>
      <c r="D24" s="28">
        <v>51</v>
      </c>
      <c r="E24" s="23">
        <v>15.26</v>
      </c>
      <c r="F24" s="24">
        <v>0</v>
      </c>
      <c r="G24" s="24">
        <v>7.2750000000000004</v>
      </c>
      <c r="H24" s="25" t="s">
        <v>65</v>
      </c>
      <c r="I24" s="8"/>
      <c r="J24" s="8"/>
      <c r="K24" s="8"/>
      <c r="L24" s="8"/>
      <c r="M24" s="9"/>
    </row>
    <row r="25" spans="1:15" x14ac:dyDescent="0.45">
      <c r="A25" s="26" t="s">
        <v>33</v>
      </c>
      <c r="B25" s="27" t="s">
        <v>34</v>
      </c>
      <c r="C25" s="23">
        <v>2.3899999999999997</v>
      </c>
      <c r="D25" s="28">
        <v>95</v>
      </c>
      <c r="E25" s="23">
        <v>29.64</v>
      </c>
      <c r="F25" s="24">
        <v>0</v>
      </c>
      <c r="G25" s="24">
        <v>18.39</v>
      </c>
      <c r="H25" s="36" t="s">
        <v>19</v>
      </c>
      <c r="I25" s="8"/>
      <c r="J25" s="8"/>
      <c r="K25" s="8"/>
      <c r="L25" s="8"/>
      <c r="M25" s="9"/>
    </row>
    <row r="26" spans="1:15" x14ac:dyDescent="0.45">
      <c r="A26" s="26" t="s">
        <v>56</v>
      </c>
      <c r="B26" s="27" t="s">
        <v>55</v>
      </c>
      <c r="C26" s="23">
        <v>2.5499999999999998</v>
      </c>
      <c r="D26" s="28">
        <v>51</v>
      </c>
      <c r="E26" s="23">
        <v>7.0200000000000005</v>
      </c>
      <c r="F26" s="24">
        <v>0</v>
      </c>
      <c r="G26" s="24">
        <v>8.5500000000000007</v>
      </c>
      <c r="H26" s="25" t="s">
        <v>69</v>
      </c>
      <c r="I26" s="8"/>
      <c r="J26" s="8"/>
      <c r="K26" s="8"/>
      <c r="L26" s="8"/>
    </row>
    <row r="27" spans="1:15" x14ac:dyDescent="0.45">
      <c r="A27" s="26" t="s">
        <v>56</v>
      </c>
      <c r="B27" s="27" t="s">
        <v>55</v>
      </c>
      <c r="C27" s="23">
        <v>1.3199999999999998</v>
      </c>
      <c r="D27" s="28">
        <v>66</v>
      </c>
      <c r="E27" s="23">
        <v>7.93</v>
      </c>
      <c r="F27" s="24">
        <v>0</v>
      </c>
      <c r="G27" s="24">
        <v>7.32</v>
      </c>
      <c r="H27" s="25" t="s">
        <v>66</v>
      </c>
      <c r="I27" s="8"/>
      <c r="J27" s="8"/>
      <c r="K27" s="8"/>
      <c r="L27" s="8"/>
    </row>
    <row r="28" spans="1:15" x14ac:dyDescent="0.45">
      <c r="A28" s="26" t="s">
        <v>72</v>
      </c>
      <c r="B28" s="27" t="s">
        <v>73</v>
      </c>
      <c r="C28" s="23">
        <v>13.188000000000001</v>
      </c>
      <c r="D28" s="28">
        <v>36</v>
      </c>
      <c r="E28" s="23">
        <v>123.84</v>
      </c>
      <c r="F28" s="24">
        <v>3</v>
      </c>
      <c r="G28" s="24">
        <v>15.188000000000001</v>
      </c>
      <c r="H28" s="25" t="s">
        <v>71</v>
      </c>
      <c r="I28" s="8"/>
      <c r="J28" s="8"/>
      <c r="K28" s="8"/>
      <c r="L28" s="8"/>
    </row>
    <row r="29" spans="1:15" x14ac:dyDescent="0.45">
      <c r="A29" s="26" t="s">
        <v>74</v>
      </c>
      <c r="B29" s="27" t="s">
        <v>75</v>
      </c>
      <c r="C29" s="23">
        <v>16.200000000000003</v>
      </c>
      <c r="D29" s="28">
        <v>60</v>
      </c>
      <c r="E29" s="23">
        <v>140.51999999999998</v>
      </c>
      <c r="F29" s="24">
        <v>5</v>
      </c>
      <c r="G29" s="24">
        <v>26.200000000000003</v>
      </c>
      <c r="H29" s="36" t="s">
        <v>19</v>
      </c>
      <c r="I29" s="8"/>
      <c r="J29" s="8"/>
      <c r="K29" s="8"/>
      <c r="L29" s="8"/>
    </row>
    <row r="30" spans="1:15" x14ac:dyDescent="0.45">
      <c r="A30" s="26" t="s">
        <v>76</v>
      </c>
      <c r="B30" s="27" t="s">
        <v>77</v>
      </c>
      <c r="C30" s="23">
        <v>2</v>
      </c>
      <c r="D30" s="28">
        <v>24</v>
      </c>
      <c r="E30" s="23">
        <v>229.2</v>
      </c>
      <c r="F30" s="24">
        <v>4</v>
      </c>
      <c r="G30" s="24">
        <v>8</v>
      </c>
      <c r="H30" s="36" t="s">
        <v>19</v>
      </c>
      <c r="I30" s="8"/>
      <c r="J30" s="8"/>
      <c r="K30" s="8"/>
      <c r="L30" s="8"/>
    </row>
    <row r="31" spans="1:15" x14ac:dyDescent="0.45">
      <c r="A31" s="26" t="s">
        <v>78</v>
      </c>
      <c r="B31" s="27" t="s">
        <v>79</v>
      </c>
      <c r="C31" s="23">
        <v>83.9</v>
      </c>
      <c r="D31" s="28">
        <v>253</v>
      </c>
      <c r="E31" s="23">
        <v>822.7</v>
      </c>
      <c r="F31" s="24">
        <v>30</v>
      </c>
      <c r="G31" s="24">
        <v>132.39999999999998</v>
      </c>
      <c r="H31" s="36" t="s">
        <v>19</v>
      </c>
      <c r="I31" s="8"/>
      <c r="J31" s="8"/>
      <c r="K31" s="8"/>
      <c r="L31" s="8"/>
    </row>
    <row r="32" spans="1:15" x14ac:dyDescent="0.45">
      <c r="A32" s="26" t="s">
        <v>80</v>
      </c>
      <c r="B32" s="27" t="s">
        <v>81</v>
      </c>
      <c r="C32" s="23">
        <v>2</v>
      </c>
      <c r="D32" s="28">
        <v>52</v>
      </c>
      <c r="E32" s="23">
        <v>71.12</v>
      </c>
      <c r="F32" s="24">
        <v>4</v>
      </c>
      <c r="G32" s="24">
        <v>8</v>
      </c>
      <c r="H32" s="36" t="s">
        <v>19</v>
      </c>
      <c r="I32" s="8"/>
      <c r="J32" s="8"/>
      <c r="K32" s="8"/>
      <c r="L32" s="8"/>
    </row>
    <row r="33" spans="1:12" x14ac:dyDescent="0.45">
      <c r="A33" s="26" t="s">
        <v>82</v>
      </c>
      <c r="B33" s="27" t="s">
        <v>81</v>
      </c>
      <c r="C33" s="23">
        <v>27.6</v>
      </c>
      <c r="D33" s="28">
        <v>187</v>
      </c>
      <c r="E33" s="23">
        <v>380.51</v>
      </c>
      <c r="F33" s="24">
        <v>16</v>
      </c>
      <c r="G33" s="24">
        <v>53.6</v>
      </c>
      <c r="H33" s="36" t="s">
        <v>19</v>
      </c>
      <c r="I33" s="8"/>
      <c r="J33" s="8"/>
      <c r="K33" s="8"/>
      <c r="L33" s="8"/>
    </row>
    <row r="34" spans="1:12" x14ac:dyDescent="0.45">
      <c r="A34" s="26" t="s">
        <v>83</v>
      </c>
      <c r="B34" s="27" t="s">
        <v>84</v>
      </c>
      <c r="C34" s="23">
        <v>6.5</v>
      </c>
      <c r="D34" s="28">
        <v>26</v>
      </c>
      <c r="E34" s="23">
        <v>61.62</v>
      </c>
      <c r="F34" s="24">
        <v>2</v>
      </c>
      <c r="G34" s="24">
        <v>11.5</v>
      </c>
      <c r="H34" s="36" t="s">
        <v>19</v>
      </c>
      <c r="I34" s="8"/>
      <c r="J34" s="8"/>
      <c r="K34" s="8"/>
      <c r="L34" s="8"/>
    </row>
    <row r="35" spans="1:12" x14ac:dyDescent="0.45">
      <c r="A35" s="26"/>
      <c r="B35" s="27"/>
      <c r="C35" s="23"/>
      <c r="D35" s="28"/>
      <c r="E35" s="23"/>
      <c r="F35" s="24"/>
      <c r="G35" s="24"/>
      <c r="H35" s="36"/>
      <c r="I35" s="8"/>
      <c r="J35" s="8"/>
      <c r="K35" s="8"/>
      <c r="L35" s="8"/>
    </row>
    <row r="36" spans="1:12" x14ac:dyDescent="0.45">
      <c r="A36" s="26"/>
      <c r="B36" s="27"/>
      <c r="C36" s="23"/>
      <c r="D36" s="28"/>
      <c r="E36" s="23"/>
      <c r="F36" s="24"/>
      <c r="G36" s="24"/>
      <c r="H36" s="36"/>
      <c r="I36" s="8"/>
      <c r="J36" s="8"/>
      <c r="K36" s="8"/>
      <c r="L36" s="8"/>
    </row>
    <row r="37" spans="1:12" x14ac:dyDescent="0.45">
      <c r="A37" s="26"/>
      <c r="B37" s="27"/>
      <c r="C37" s="23"/>
      <c r="D37" s="28"/>
      <c r="E37" s="23"/>
      <c r="F37" s="24"/>
      <c r="G37" s="24"/>
      <c r="H37" s="36"/>
      <c r="I37" s="8"/>
      <c r="J37" s="8"/>
      <c r="K37" s="8"/>
      <c r="L37" s="8"/>
    </row>
    <row r="38" spans="1:12" x14ac:dyDescent="0.45">
      <c r="A38" s="26"/>
      <c r="B38" s="27"/>
      <c r="C38" s="23"/>
      <c r="D38" s="28"/>
      <c r="E38" s="23"/>
      <c r="F38" s="24"/>
      <c r="G38" s="24"/>
      <c r="H38" s="25"/>
      <c r="I38" s="8"/>
      <c r="J38" s="8"/>
      <c r="K38" s="8"/>
      <c r="L38" s="8"/>
    </row>
    <row r="39" spans="1:12" x14ac:dyDescent="0.45">
      <c r="A39" s="26"/>
      <c r="B39" s="27"/>
      <c r="C39" s="23"/>
      <c r="D39" s="28"/>
      <c r="E39" s="23"/>
      <c r="F39" s="24"/>
      <c r="G39" s="24"/>
      <c r="H39" s="25"/>
      <c r="I39" s="8"/>
      <c r="J39" s="8"/>
      <c r="K39" s="8"/>
      <c r="L39" s="8"/>
    </row>
    <row r="40" spans="1:12" x14ac:dyDescent="0.45">
      <c r="A40" s="26"/>
      <c r="B40" s="27"/>
      <c r="C40" s="23"/>
      <c r="D40" s="28"/>
      <c r="E40" s="23"/>
      <c r="F40" s="24"/>
      <c r="G40" s="24"/>
      <c r="H40" s="25"/>
      <c r="I40" s="8"/>
      <c r="J40" s="8"/>
      <c r="K40" s="8"/>
      <c r="L40" s="8"/>
    </row>
    <row r="41" spans="1:12" x14ac:dyDescent="0.45">
      <c r="A41" s="26"/>
      <c r="B41" s="27"/>
      <c r="C41" s="23"/>
      <c r="D41" s="28"/>
      <c r="E41" s="23"/>
      <c r="F41" s="24"/>
      <c r="G41" s="24"/>
      <c r="H41" s="25"/>
      <c r="I41" s="8"/>
      <c r="J41" s="8"/>
      <c r="K41" s="8"/>
      <c r="L41" s="8"/>
    </row>
    <row r="42" spans="1:12" x14ac:dyDescent="0.45">
      <c r="A42" s="26"/>
      <c r="B42" s="27"/>
      <c r="C42" s="23"/>
      <c r="D42" s="28"/>
      <c r="E42" s="23"/>
      <c r="F42" s="24"/>
      <c r="G42" s="24"/>
      <c r="H42" s="25"/>
      <c r="I42" s="8"/>
      <c r="J42" s="8"/>
      <c r="K42" s="8"/>
      <c r="L42" s="8"/>
    </row>
    <row r="43" spans="1:12" x14ac:dyDescent="0.45">
      <c r="A43" s="26"/>
      <c r="B43" s="27"/>
      <c r="C43" s="23"/>
      <c r="D43" s="28"/>
      <c r="E43" s="23"/>
      <c r="F43" s="24"/>
      <c r="G43" s="24"/>
      <c r="H43" s="25"/>
      <c r="I43" s="8"/>
      <c r="J43" s="8"/>
      <c r="K43" s="8"/>
      <c r="L43" s="8"/>
    </row>
    <row r="44" spans="1:12" x14ac:dyDescent="0.45">
      <c r="A44" s="26"/>
      <c r="B44" s="27"/>
      <c r="C44" s="23"/>
      <c r="D44" s="28"/>
      <c r="E44" s="23"/>
      <c r="F44" s="24"/>
      <c r="G44" s="24"/>
      <c r="H44" s="25"/>
      <c r="I44" s="8"/>
      <c r="J44" s="8"/>
      <c r="K44" s="8"/>
      <c r="L44" s="8"/>
    </row>
    <row r="45" spans="1:12" x14ac:dyDescent="0.45">
      <c r="A45" s="26"/>
      <c r="B45" s="27"/>
      <c r="C45" s="23"/>
      <c r="D45" s="28"/>
      <c r="E45" s="23"/>
      <c r="F45" s="24"/>
      <c r="G45" s="24"/>
      <c r="H45" s="25"/>
      <c r="I45" s="8"/>
      <c r="J45" s="8"/>
      <c r="K45" s="8"/>
      <c r="L45" s="8"/>
    </row>
    <row r="46" spans="1:12" x14ac:dyDescent="0.45">
      <c r="A46" s="26"/>
      <c r="B46" s="27"/>
      <c r="C46" s="23"/>
      <c r="D46" s="28"/>
      <c r="E46" s="23"/>
      <c r="F46" s="24"/>
      <c r="G46" s="24"/>
      <c r="H46" s="25"/>
      <c r="I46" s="8"/>
      <c r="J46" s="8"/>
      <c r="K46" s="8"/>
      <c r="L46" s="8"/>
    </row>
    <row r="47" spans="1:12" x14ac:dyDescent="0.45">
      <c r="A47" s="26"/>
      <c r="B47" s="27"/>
      <c r="C47" s="23"/>
      <c r="D47" s="28"/>
      <c r="E47" s="23"/>
      <c r="F47" s="24"/>
      <c r="G47" s="24"/>
      <c r="H47" s="25"/>
      <c r="I47" s="8"/>
      <c r="J47" s="8"/>
      <c r="K47" s="8"/>
      <c r="L47" s="8"/>
    </row>
    <row r="48" spans="1:12" x14ac:dyDescent="0.45">
      <c r="A48" s="26"/>
      <c r="B48" s="27"/>
      <c r="C48" s="23"/>
      <c r="D48" s="28"/>
      <c r="E48" s="23"/>
      <c r="F48" s="24"/>
      <c r="G48" s="24"/>
      <c r="H48" s="25"/>
      <c r="I48" s="8"/>
      <c r="J48" s="8"/>
      <c r="K48" s="8"/>
      <c r="L48" s="8"/>
    </row>
    <row r="49" spans="1:12" x14ac:dyDescent="0.45">
      <c r="A49" s="26"/>
      <c r="B49" s="27"/>
      <c r="C49" s="23"/>
      <c r="D49" s="28"/>
      <c r="E49" s="23"/>
      <c r="F49" s="24"/>
      <c r="G49" s="24"/>
      <c r="H49" s="25"/>
      <c r="I49" s="8"/>
      <c r="J49" s="8"/>
      <c r="K49" s="8"/>
      <c r="L49" s="8"/>
    </row>
    <row r="50" spans="1:12" x14ac:dyDescent="0.45">
      <c r="A50" s="26"/>
      <c r="B50" s="27"/>
      <c r="C50" s="23"/>
      <c r="D50" s="28"/>
      <c r="E50" s="23"/>
      <c r="F50" s="24"/>
      <c r="G50" s="24"/>
      <c r="H50" s="25"/>
      <c r="I50" s="8"/>
      <c r="J50" s="8"/>
      <c r="K50" s="8"/>
      <c r="L50" s="8"/>
    </row>
    <row r="51" spans="1:12" x14ac:dyDescent="0.45">
      <c r="A51" s="26"/>
      <c r="B51" s="27"/>
      <c r="C51" s="23"/>
      <c r="D51" s="28"/>
      <c r="E51" s="23"/>
      <c r="F51" s="24"/>
      <c r="G51" s="24"/>
      <c r="H51" s="25"/>
      <c r="I51" s="8"/>
      <c r="J51" s="8"/>
      <c r="K51" s="8"/>
      <c r="L51" s="8"/>
    </row>
    <row r="52" spans="1:12" x14ac:dyDescent="0.45">
      <c r="A52" s="26"/>
      <c r="B52" s="27"/>
      <c r="C52" s="23"/>
      <c r="D52" s="28"/>
      <c r="E52" s="23"/>
      <c r="F52" s="24"/>
      <c r="G52" s="24"/>
      <c r="H52" s="25"/>
      <c r="I52" s="8"/>
      <c r="J52" s="8"/>
      <c r="K52" s="8"/>
      <c r="L52" s="8"/>
    </row>
    <row r="53" spans="1:12" x14ac:dyDescent="0.45">
      <c r="A53" s="26"/>
      <c r="B53" s="27"/>
      <c r="C53" s="23"/>
      <c r="D53" s="28"/>
      <c r="E53" s="23"/>
      <c r="F53" s="24"/>
      <c r="G53" s="24"/>
      <c r="H53" s="25"/>
      <c r="I53" s="8"/>
      <c r="J53" s="8"/>
      <c r="K53" s="8"/>
      <c r="L53" s="8"/>
    </row>
    <row r="54" spans="1:12" x14ac:dyDescent="0.45">
      <c r="A54" s="26"/>
      <c r="B54" s="27"/>
      <c r="C54" s="23"/>
      <c r="D54" s="28"/>
      <c r="E54" s="23"/>
      <c r="F54" s="24"/>
      <c r="G54" s="24"/>
      <c r="H54" s="25"/>
      <c r="I54" s="8"/>
      <c r="J54" s="8"/>
      <c r="K54" s="8"/>
      <c r="L54" s="8"/>
    </row>
    <row r="55" spans="1:12" x14ac:dyDescent="0.45">
      <c r="A55" s="26"/>
      <c r="B55" s="27"/>
      <c r="C55" s="23"/>
      <c r="D55" s="28"/>
      <c r="E55" s="23"/>
      <c r="F55" s="24"/>
      <c r="G55" s="24"/>
      <c r="H55" s="25"/>
      <c r="I55" s="8"/>
      <c r="J55" s="8"/>
      <c r="K55" s="8"/>
      <c r="L55" s="8"/>
    </row>
    <row r="56" spans="1:12" x14ac:dyDescent="0.45">
      <c r="A56" s="26"/>
      <c r="B56" s="27"/>
      <c r="C56" s="23"/>
      <c r="D56" s="28"/>
      <c r="E56" s="23"/>
      <c r="F56" s="24"/>
      <c r="G56" s="24"/>
      <c r="H56" s="25"/>
      <c r="I56" s="8"/>
      <c r="J56" s="8"/>
      <c r="K56" s="8"/>
      <c r="L56" s="8"/>
    </row>
    <row r="57" spans="1:12" x14ac:dyDescent="0.45">
      <c r="A57" s="26"/>
      <c r="B57" s="27"/>
      <c r="C57" s="23"/>
      <c r="D57" s="28"/>
      <c r="E57" s="23"/>
      <c r="F57" s="24"/>
      <c r="G57" s="24"/>
      <c r="H57" s="25"/>
      <c r="I57" s="8"/>
      <c r="J57" s="8"/>
      <c r="K57" s="8"/>
      <c r="L57" s="8"/>
    </row>
    <row r="58" spans="1:12" x14ac:dyDescent="0.45">
      <c r="A58" s="26"/>
      <c r="B58" s="27"/>
      <c r="C58" s="23"/>
      <c r="D58" s="28"/>
      <c r="E58" s="23"/>
      <c r="F58" s="24"/>
      <c r="G58" s="24"/>
      <c r="H58" s="25"/>
      <c r="I58" s="8"/>
      <c r="J58" s="8"/>
      <c r="K58" s="8"/>
      <c r="L58" s="8"/>
    </row>
    <row r="59" spans="1:12" x14ac:dyDescent="0.45">
      <c r="A59" s="26"/>
      <c r="B59" s="27"/>
      <c r="C59" s="23"/>
      <c r="D59" s="28"/>
      <c r="E59" s="23"/>
      <c r="F59" s="24"/>
      <c r="G59" s="24"/>
      <c r="H59" s="25"/>
      <c r="I59" s="8"/>
      <c r="J59" s="8"/>
      <c r="K59" s="8"/>
      <c r="L59" s="8"/>
    </row>
    <row r="60" spans="1:12" x14ac:dyDescent="0.45">
      <c r="A60" s="26"/>
      <c r="B60" s="27"/>
      <c r="C60" s="23"/>
      <c r="D60" s="28"/>
      <c r="E60" s="23"/>
      <c r="F60" s="24"/>
      <c r="G60" s="24"/>
      <c r="H60" s="25"/>
      <c r="I60" s="8"/>
      <c r="J60" s="8"/>
      <c r="K60" s="8"/>
      <c r="L60" s="8"/>
    </row>
    <row r="61" spans="1:12" x14ac:dyDescent="0.45">
      <c r="A61" s="26"/>
      <c r="B61" s="27"/>
      <c r="C61" s="23"/>
      <c r="D61" s="28"/>
      <c r="E61" s="23"/>
      <c r="F61" s="24"/>
      <c r="G61" s="24"/>
      <c r="H61" s="25"/>
      <c r="I61" s="8"/>
      <c r="J61" s="8"/>
      <c r="K61" s="8"/>
      <c r="L61" s="8"/>
    </row>
    <row r="62" spans="1:12" x14ac:dyDescent="0.45">
      <c r="A62" s="26"/>
      <c r="B62" s="27"/>
      <c r="C62" s="23"/>
      <c r="D62" s="28"/>
      <c r="E62" s="23"/>
      <c r="F62" s="24"/>
      <c r="G62" s="24"/>
      <c r="H62" s="25"/>
      <c r="I62" s="8"/>
      <c r="J62" s="8"/>
      <c r="K62" s="8"/>
      <c r="L62" s="8"/>
    </row>
    <row r="63" spans="1:12" x14ac:dyDescent="0.45">
      <c r="A63" s="26"/>
      <c r="B63" s="27"/>
      <c r="C63" s="23"/>
      <c r="D63" s="28"/>
      <c r="E63" s="23"/>
      <c r="F63" s="24"/>
      <c r="G63" s="24"/>
      <c r="H63" s="25"/>
      <c r="I63" s="8"/>
      <c r="J63" s="8"/>
      <c r="K63" s="8"/>
      <c r="L63" s="8"/>
    </row>
    <row r="64" spans="1:12" x14ac:dyDescent="0.45">
      <c r="A64" s="26"/>
      <c r="B64" s="27"/>
      <c r="C64" s="23"/>
      <c r="D64" s="28"/>
      <c r="E64" s="23"/>
      <c r="F64" s="24"/>
      <c r="G64" s="24"/>
      <c r="H64" s="25"/>
      <c r="I64" s="8"/>
      <c r="J64" s="8"/>
      <c r="K64" s="8"/>
      <c r="L64" s="8"/>
    </row>
    <row r="65" spans="1:12" x14ac:dyDescent="0.45">
      <c r="A65" s="26"/>
      <c r="B65" s="27"/>
      <c r="C65" s="23"/>
      <c r="D65" s="28"/>
      <c r="E65" s="23"/>
      <c r="F65" s="24"/>
      <c r="G65" s="24"/>
      <c r="H65" s="25"/>
      <c r="I65" s="8"/>
      <c r="J65" s="8"/>
      <c r="K65" s="8"/>
      <c r="L65" s="8"/>
    </row>
    <row r="66" spans="1:12" x14ac:dyDescent="0.45">
      <c r="A66" s="26"/>
      <c r="B66" s="27"/>
      <c r="C66" s="23"/>
      <c r="D66" s="28"/>
      <c r="E66" s="23"/>
      <c r="F66" s="24"/>
      <c r="G66" s="24"/>
      <c r="H66" s="25"/>
      <c r="I66" s="8"/>
      <c r="J66" s="8"/>
      <c r="K66" s="8"/>
      <c r="L66" s="8"/>
    </row>
    <row r="67" spans="1:12" x14ac:dyDescent="0.45">
      <c r="A67" s="26"/>
      <c r="B67" s="27"/>
      <c r="C67" s="23"/>
      <c r="D67" s="28"/>
      <c r="E67" s="23"/>
      <c r="F67" s="24"/>
      <c r="G67" s="24"/>
      <c r="H67" s="25"/>
      <c r="I67" s="8"/>
      <c r="J67" s="8"/>
      <c r="K67" s="8"/>
      <c r="L67" s="8"/>
    </row>
    <row r="68" spans="1:12" x14ac:dyDescent="0.45">
      <c r="A68" s="26"/>
      <c r="B68" s="27"/>
      <c r="C68" s="23"/>
      <c r="D68" s="28"/>
      <c r="E68" s="23"/>
      <c r="F68" s="24"/>
      <c r="G68" s="24"/>
      <c r="H68" s="25"/>
      <c r="I68" s="8"/>
      <c r="J68" s="8"/>
      <c r="K68" s="8"/>
      <c r="L68" s="8"/>
    </row>
    <row r="69" spans="1:12" x14ac:dyDescent="0.45">
      <c r="A69" s="26"/>
      <c r="B69" s="27"/>
      <c r="C69" s="23"/>
      <c r="D69" s="28"/>
      <c r="E69" s="23"/>
      <c r="F69" s="24"/>
      <c r="G69" s="24"/>
      <c r="H69" s="25"/>
      <c r="I69" s="8"/>
      <c r="J69" s="8"/>
      <c r="K69" s="8"/>
      <c r="L69" s="8"/>
    </row>
    <row r="70" spans="1:12" x14ac:dyDescent="0.45">
      <c r="A70" s="26"/>
      <c r="B70" s="27"/>
      <c r="C70" s="23"/>
      <c r="D70" s="28"/>
      <c r="E70" s="23"/>
      <c r="F70" s="24"/>
      <c r="G70" s="24"/>
      <c r="H70" s="25"/>
      <c r="I70" s="8"/>
      <c r="J70" s="8"/>
      <c r="K70" s="8"/>
      <c r="L70" s="8"/>
    </row>
    <row r="71" spans="1:12" x14ac:dyDescent="0.45">
      <c r="A71" s="26"/>
      <c r="B71" s="27"/>
      <c r="C71" s="23"/>
      <c r="D71" s="28"/>
      <c r="E71" s="23"/>
      <c r="F71" s="24"/>
      <c r="G71" s="24"/>
      <c r="H71" s="25"/>
      <c r="I71" s="8"/>
      <c r="J71" s="8"/>
      <c r="K71" s="8"/>
      <c r="L71" s="8"/>
    </row>
    <row r="72" spans="1:12" x14ac:dyDescent="0.45">
      <c r="A72" s="26"/>
      <c r="B72" s="27"/>
      <c r="C72" s="23"/>
      <c r="D72" s="28"/>
      <c r="E72" s="23"/>
      <c r="F72" s="24"/>
      <c r="G72" s="24"/>
      <c r="H72" s="25"/>
      <c r="I72" s="8"/>
      <c r="J72" s="8"/>
      <c r="K72" s="8"/>
      <c r="L72" s="8"/>
    </row>
    <row r="73" spans="1:12" x14ac:dyDescent="0.45">
      <c r="A73" s="26"/>
      <c r="B73" s="27"/>
      <c r="C73" s="23"/>
      <c r="D73" s="28"/>
      <c r="E73" s="23"/>
      <c r="F73" s="24"/>
      <c r="G73" s="24"/>
      <c r="H73" s="25"/>
      <c r="I73" s="8"/>
      <c r="J73" s="8"/>
      <c r="K73" s="8"/>
      <c r="L73" s="8"/>
    </row>
    <row r="74" spans="1:12" x14ac:dyDescent="0.45">
      <c r="A74" s="26"/>
      <c r="B74" s="27"/>
      <c r="C74" s="23"/>
      <c r="D74" s="28"/>
      <c r="E74" s="23"/>
      <c r="F74" s="24"/>
      <c r="G74" s="24"/>
      <c r="H74" s="25"/>
      <c r="I74" s="8"/>
      <c r="J74" s="8"/>
      <c r="K74" s="8"/>
      <c r="L74" s="8"/>
    </row>
    <row r="75" spans="1:12" x14ac:dyDescent="0.45">
      <c r="A75" s="26"/>
      <c r="B75" s="27"/>
      <c r="C75" s="23"/>
      <c r="D75" s="28"/>
      <c r="E75" s="23"/>
      <c r="F75" s="24"/>
      <c r="G75" s="24"/>
      <c r="H75" s="25"/>
      <c r="I75" s="8"/>
      <c r="J75" s="8"/>
      <c r="K75" s="8"/>
      <c r="L75" s="8"/>
    </row>
    <row r="76" spans="1:12" x14ac:dyDescent="0.45">
      <c r="A76" s="26"/>
      <c r="B76" s="27"/>
      <c r="C76" s="23"/>
      <c r="D76" s="28"/>
      <c r="E76" s="23"/>
      <c r="F76" s="24"/>
      <c r="G76" s="24"/>
      <c r="H76" s="25"/>
      <c r="I76" s="8"/>
      <c r="J76" s="8"/>
      <c r="K76" s="8"/>
      <c r="L76" s="8"/>
    </row>
    <row r="77" spans="1:12" x14ac:dyDescent="0.45">
      <c r="A77" s="26"/>
      <c r="B77" s="27"/>
      <c r="C77" s="23"/>
      <c r="D77" s="28"/>
      <c r="E77" s="23"/>
      <c r="F77" s="24"/>
      <c r="G77" s="24"/>
      <c r="H77" s="25"/>
      <c r="I77" s="8"/>
      <c r="J77" s="8"/>
      <c r="K77" s="8"/>
      <c r="L77" s="8"/>
    </row>
    <row r="78" spans="1:12" x14ac:dyDescent="0.45">
      <c r="A78" s="26"/>
      <c r="B78" s="27"/>
      <c r="C78" s="23"/>
      <c r="D78" s="28"/>
      <c r="E78" s="23"/>
      <c r="F78" s="24"/>
      <c r="G78" s="24"/>
      <c r="H78" s="25"/>
      <c r="I78" s="8"/>
      <c r="J78" s="8"/>
      <c r="K78" s="8"/>
      <c r="L78" s="8"/>
    </row>
    <row r="79" spans="1:12" x14ac:dyDescent="0.45">
      <c r="A79" s="26"/>
      <c r="B79" s="27"/>
      <c r="C79" s="23"/>
      <c r="D79" s="28"/>
      <c r="E79" s="23"/>
      <c r="F79" s="24"/>
      <c r="G79" s="24"/>
      <c r="H79" s="25"/>
      <c r="I79" s="8"/>
      <c r="J79" s="8"/>
      <c r="K79" s="8"/>
      <c r="L79" s="8"/>
    </row>
    <row r="80" spans="1:12" x14ac:dyDescent="0.45">
      <c r="A80" s="26"/>
      <c r="B80" s="27"/>
      <c r="C80" s="23"/>
      <c r="D80" s="28"/>
      <c r="E80" s="23"/>
      <c r="F80" s="24"/>
      <c r="G80" s="24"/>
      <c r="H80" s="25"/>
      <c r="I80" s="8"/>
      <c r="J80" s="8"/>
      <c r="K80" s="8"/>
      <c r="L80" s="8"/>
    </row>
    <row r="81" spans="5:5" x14ac:dyDescent="0.45">
      <c r="E81" s="1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Walther Korzilius</dc:creator>
  <cp:keywords/>
  <dc:description/>
  <cp:lastModifiedBy>Filipe Tereso</cp:lastModifiedBy>
  <dcterms:created xsi:type="dcterms:W3CDTF">2020-12-02T12:25:37Z</dcterms:created>
  <dcterms:modified xsi:type="dcterms:W3CDTF">2026-06-18T12:33:26Z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0x0101000C2B710B4BD59D458B5C271B1B96FCA9</vt:lpwstr>
  </property>
</Properties>
</file>